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sguttiku_uiowa_edu/Documents/SIM-air/2023-AQ-Course-Material/Excel-Players/"/>
    </mc:Choice>
  </mc:AlternateContent>
  <xr:revisionPtr revIDLastSave="312" documentId="8_{243FEFA7-8343-4EA3-AADF-FDEC61776A2F}" xr6:coauthVersionLast="47" xr6:coauthVersionMax="47" xr10:uidLastSave="{B4FA1B2D-432B-42B1-A0B1-186DF3C76383}"/>
  <bookViews>
    <workbookView xWindow="-108" yWindow="-108" windowWidth="23256" windowHeight="13896" xr2:uid="{F1339973-1533-48D7-B08C-54CB500B8EC6}"/>
  </bookViews>
  <sheets>
    <sheet name="Tally" sheetId="1" r:id="rId1"/>
    <sheet name="CPCB guidelines" sheetId="2" r:id="rId2"/>
    <sheet name="Hyperloc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" l="1"/>
  <c r="F21" i="3"/>
  <c r="E21" i="3"/>
  <c r="D21" i="3" s="1"/>
  <c r="G21" i="3"/>
  <c r="D24" i="3"/>
  <c r="F24" i="3" s="1"/>
  <c r="D23" i="3"/>
  <c r="F23" i="3" s="1"/>
  <c r="D22" i="3"/>
  <c r="F22" i="3" s="1"/>
  <c r="D11" i="3"/>
  <c r="F11" i="3" s="1"/>
  <c r="D12" i="3"/>
  <c r="F12" i="3" s="1"/>
  <c r="D13" i="3"/>
  <c r="F13" i="3" s="1"/>
  <c r="D14" i="3"/>
  <c r="F14" i="3" s="1"/>
  <c r="E10" i="3"/>
  <c r="D10" i="3" s="1"/>
  <c r="F10" i="3" s="1"/>
  <c r="D27" i="2"/>
  <c r="D29" i="2" s="1"/>
  <c r="E29" i="2" s="1"/>
  <c r="D21" i="2"/>
  <c r="E21" i="2" s="1"/>
  <c r="D20" i="2"/>
  <c r="D22" i="2" s="1"/>
  <c r="E22" i="2" s="1"/>
  <c r="D15" i="2"/>
  <c r="E15" i="2" s="1"/>
  <c r="D13" i="2"/>
  <c r="E13" i="2" s="1"/>
  <c r="D12" i="2"/>
  <c r="E12" i="2" s="1"/>
  <c r="D5" i="2"/>
  <c r="E5" i="2" s="1"/>
  <c r="D4" i="2"/>
  <c r="D6" i="2" s="1"/>
  <c r="E15" i="1"/>
  <c r="E14" i="1"/>
  <c r="D14" i="2" l="1"/>
  <c r="E14" i="2" s="1"/>
  <c r="E20" i="2"/>
  <c r="D28" i="2"/>
  <c r="E28" i="2" s="1"/>
  <c r="D7" i="2"/>
  <c r="E7" i="2" s="1"/>
  <c r="D25" i="3"/>
  <c r="F25" i="3"/>
  <c r="F15" i="3"/>
  <c r="E19" i="1" s="1"/>
  <c r="D15" i="3"/>
  <c r="E27" i="2"/>
  <c r="E30" i="2" s="1"/>
  <c r="E23" i="2"/>
  <c r="E6" i="2"/>
  <c r="E4" i="2"/>
  <c r="E16" i="2" l="1"/>
  <c r="E8" i="2"/>
  <c r="E17" i="1" s="1"/>
  <c r="E18" i="1" s="1"/>
</calcChain>
</file>

<file path=xl/sharedStrings.xml><?xml version="1.0" encoding="utf-8"?>
<sst xmlns="http://schemas.openxmlformats.org/spreadsheetml/2006/main" count="105" uniqueCount="71">
  <si>
    <t>We want a monitor every sq.km</t>
  </si>
  <si>
    <t>City Size</t>
  </si>
  <si>
    <t>length</t>
  </si>
  <si>
    <t>breadth</t>
  </si>
  <si>
    <t>Area</t>
  </si>
  <si>
    <t>km</t>
  </si>
  <si>
    <t>km2</t>
  </si>
  <si>
    <t>&lt;= either calculate or enter -- this is used</t>
  </si>
  <si>
    <t>Total population</t>
  </si>
  <si>
    <t>Urban Share</t>
  </si>
  <si>
    <t>million</t>
  </si>
  <si>
    <t>Urban built-up area</t>
  </si>
  <si>
    <t>Case 1</t>
  </si>
  <si>
    <t>How many monitors are required</t>
  </si>
  <si>
    <t>Case 2</t>
  </si>
  <si>
    <t>Monitor in every urban sq.km</t>
  </si>
  <si>
    <t>Case 3</t>
  </si>
  <si>
    <t>Monitor every representative block</t>
  </si>
  <si>
    <t>&lt;== total area * urban built.area %</t>
  </si>
  <si>
    <t>&lt;== thumb rule, one regulatory monitor represents 2-km radius, equivalent of 10 km2</t>
  </si>
  <si>
    <t>Case 4</t>
  </si>
  <si>
    <t>Minimum representation of activities</t>
  </si>
  <si>
    <t>&lt;== residential, industrial, transport, commercial, and background</t>
  </si>
  <si>
    <t>Case 5</t>
  </si>
  <si>
    <t>Minimum using CPCB guidelines</t>
  </si>
  <si>
    <t>PM</t>
  </si>
  <si>
    <t>pop block</t>
  </si>
  <si>
    <t>&lt;100000</t>
  </si>
  <si>
    <t>100k to 1M</t>
  </si>
  <si>
    <t>1M to 5M</t>
  </si>
  <si>
    <t>&gt;5M</t>
  </si>
  <si>
    <t>pop (millions)</t>
  </si>
  <si>
    <t>City pop bins</t>
  </si>
  <si>
    <t>Total</t>
  </si>
  <si>
    <t>&lt;== see guidelines sheet</t>
  </si>
  <si>
    <t>Case 6</t>
  </si>
  <si>
    <t>CPCB minimum with urban correction</t>
  </si>
  <si>
    <t>&lt;== accounting for urban pop and urban built-up area ratios</t>
  </si>
  <si>
    <t xml:space="preserve">Case 7 </t>
  </si>
  <si>
    <t>&lt;== see hyperlocal sheet</t>
  </si>
  <si>
    <t>SO2</t>
  </si>
  <si>
    <t>1M to 10M</t>
  </si>
  <si>
    <t>&gt;10M</t>
  </si>
  <si>
    <t>&gt;1M</t>
  </si>
  <si>
    <t>NO2</t>
  </si>
  <si>
    <t>CO</t>
  </si>
  <si>
    <t>100k to 5M</t>
  </si>
  <si>
    <t>Hyperlocal = high density monitoring, especially in the populated high density grids</t>
  </si>
  <si>
    <t>From gridded population data for the city @ 1km2</t>
  </si>
  <si>
    <t>No of grids with density</t>
  </si>
  <si>
    <t>&gt;100</t>
  </si>
  <si>
    <t>1000-5000</t>
  </si>
  <si>
    <t>Total grids</t>
  </si>
  <si>
    <t>%</t>
  </si>
  <si>
    <t>Monitors</t>
  </si>
  <si>
    <t>&lt;== one monitor per 1km2</t>
  </si>
  <si>
    <t>&lt;== monitor every 100m gap = 100 per km2</t>
  </si>
  <si>
    <t>100-1000</t>
  </si>
  <si>
    <t>5000-10000</t>
  </si>
  <si>
    <t>&gt;10000</t>
  </si>
  <si>
    <t>#/km2</t>
  </si>
  <si>
    <t>&lt;== monitor every 200m gap = 25 per km2</t>
  </si>
  <si>
    <t>&lt;== monitor every 300m gap = 9 per km2</t>
  </si>
  <si>
    <t>Hyperlocal (high density via pop)</t>
  </si>
  <si>
    <t>Case 8</t>
  </si>
  <si>
    <t>Hyperlocal (high density via urban pop)</t>
  </si>
  <si>
    <t>Using only urban grids and remaining using 10km2 representative area</t>
  </si>
  <si>
    <t>non-urban</t>
  </si>
  <si>
    <t>&lt;== one monitor per 10km2</t>
  </si>
  <si>
    <t>urb.pop only</t>
  </si>
  <si>
    <t>Green cells are user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</si>
</sst>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5" borderId="0" xfId="0" applyFill="1"/>
    <xf numFmtId="165" fontId="0" fillId="6" borderId="0" xfId="1" applyNumberFormat="1" applyFont="1" applyFill="1"/>
    <xf numFmtId="0" fontId="0" fillId="6" borderId="0" xfId="0" applyFill="1"/>
    <xf numFmtId="9" fontId="0" fillId="6" borderId="0" xfId="0" applyNumberFormat="1" applyFill="1"/>
    <xf numFmtId="0" fontId="0" fillId="7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396240</xdr:colOff>
      <xdr:row>0</xdr:row>
      <xdr:rowOff>11778</xdr:rowOff>
    </xdr:from>
    <xdr:to>
      <xdr:col>19</xdr:col>
      <xdr:colOff>22860</xdr:colOff>
      <xdr:row>17</xdr:row>
      <xdr:rowOff>77194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CA963-DF3F-4305-9AA2-9F624D50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5980" y="11778"/>
          <a:ext cx="6332220" cy="317437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FAE4-53BD-4656-A234-EC03A936F5EC}">
  <dimension ref="B2:G20"/>
  <sheetViews>
    <sheetView tabSelected="1" zoomScale="120" zoomScaleNormal="120" workbookViewId="0">
      <selection activeCell="E23" sqref="E23"/>
    </sheetView>
  </sheetViews>
  <sheetFormatPr defaultRowHeight="14.4" x14ac:dyDescent="0.3"/>
  <cols>
    <col min="3" max="3" width="32.88671875" customWidth="1"/>
  </cols>
  <sheetData>
    <row r="2" spans="2:7" x14ac:dyDescent="0.3">
      <c r="C2" s="3" t="s">
        <v>1</v>
      </c>
      <c r="D2" t="s">
        <v>2</v>
      </c>
      <c r="E2" s="10">
        <v>30</v>
      </c>
      <c r="F2" t="s">
        <v>5</v>
      </c>
    </row>
    <row r="3" spans="2:7" x14ac:dyDescent="0.3">
      <c r="C3" s="3"/>
      <c r="D3" t="s">
        <v>3</v>
      </c>
      <c r="E3" s="10">
        <v>30</v>
      </c>
      <c r="F3" t="s">
        <v>5</v>
      </c>
    </row>
    <row r="4" spans="2:7" x14ac:dyDescent="0.3">
      <c r="C4" s="3"/>
      <c r="D4" t="s">
        <v>4</v>
      </c>
      <c r="E4" s="10">
        <v>900</v>
      </c>
      <c r="F4" t="s">
        <v>6</v>
      </c>
      <c r="G4" t="s">
        <v>7</v>
      </c>
    </row>
    <row r="5" spans="2:7" x14ac:dyDescent="0.3">
      <c r="C5" s="3"/>
    </row>
    <row r="6" spans="2:7" x14ac:dyDescent="0.3">
      <c r="C6" s="3" t="s">
        <v>8</v>
      </c>
      <c r="E6" s="10">
        <v>3.2</v>
      </c>
      <c r="F6" t="s">
        <v>10</v>
      </c>
    </row>
    <row r="7" spans="2:7" x14ac:dyDescent="0.3">
      <c r="C7" s="3" t="s">
        <v>9</v>
      </c>
      <c r="E7" s="11">
        <v>0.75</v>
      </c>
    </row>
    <row r="8" spans="2:7" x14ac:dyDescent="0.3">
      <c r="C8" s="3" t="s">
        <v>11</v>
      </c>
      <c r="E8" s="11">
        <v>0.3</v>
      </c>
    </row>
    <row r="9" spans="2:7" x14ac:dyDescent="0.3">
      <c r="E9" s="1"/>
    </row>
    <row r="10" spans="2:7" x14ac:dyDescent="0.3">
      <c r="E10" s="1"/>
    </row>
    <row r="11" spans="2:7" x14ac:dyDescent="0.3">
      <c r="C11" s="2" t="s">
        <v>13</v>
      </c>
    </row>
    <row r="12" spans="2:7" x14ac:dyDescent="0.3">
      <c r="C12" s="6"/>
    </row>
    <row r="13" spans="2:7" x14ac:dyDescent="0.3">
      <c r="B13" t="s">
        <v>12</v>
      </c>
      <c r="C13" t="s">
        <v>0</v>
      </c>
      <c r="E13">
        <v>900</v>
      </c>
    </row>
    <row r="14" spans="2:7" x14ac:dyDescent="0.3">
      <c r="B14" t="s">
        <v>14</v>
      </c>
      <c r="C14" t="s">
        <v>15</v>
      </c>
      <c r="E14">
        <f>E4*E8</f>
        <v>270</v>
      </c>
      <c r="G14" t="s">
        <v>18</v>
      </c>
    </row>
    <row r="15" spans="2:7" x14ac:dyDescent="0.3">
      <c r="B15" t="s">
        <v>16</v>
      </c>
      <c r="C15" t="s">
        <v>17</v>
      </c>
      <c r="E15">
        <f>E4/10</f>
        <v>90</v>
      </c>
      <c r="G15" t="s">
        <v>19</v>
      </c>
    </row>
    <row r="16" spans="2:7" x14ac:dyDescent="0.3">
      <c r="B16" t="s">
        <v>20</v>
      </c>
      <c r="C16" t="s">
        <v>21</v>
      </c>
      <c r="E16">
        <v>5</v>
      </c>
      <c r="G16" t="s">
        <v>22</v>
      </c>
    </row>
    <row r="17" spans="2:7" x14ac:dyDescent="0.3">
      <c r="B17" t="s">
        <v>23</v>
      </c>
      <c r="C17" t="s">
        <v>24</v>
      </c>
      <c r="E17" s="12">
        <f>'CPCB guidelines'!E8</f>
        <v>28</v>
      </c>
      <c r="G17" t="s">
        <v>34</v>
      </c>
    </row>
    <row r="18" spans="2:7" x14ac:dyDescent="0.3">
      <c r="B18" t="s">
        <v>35</v>
      </c>
      <c r="C18" t="s">
        <v>36</v>
      </c>
      <c r="E18" s="12">
        <f>INT(E17*(1-E8)/(1-E7))</f>
        <v>78</v>
      </c>
      <c r="G18" t="s">
        <v>37</v>
      </c>
    </row>
    <row r="19" spans="2:7" x14ac:dyDescent="0.3">
      <c r="B19" t="s">
        <v>38</v>
      </c>
      <c r="C19" t="s">
        <v>63</v>
      </c>
      <c r="E19">
        <f>Hyperlocal!F15</f>
        <v>4131</v>
      </c>
      <c r="G19" t="s">
        <v>39</v>
      </c>
    </row>
    <row r="20" spans="2:7" x14ac:dyDescent="0.3">
      <c r="B20" t="s">
        <v>64</v>
      </c>
      <c r="C20" t="s">
        <v>65</v>
      </c>
      <c r="E20">
        <f>Hyperlocal!F25</f>
        <v>2911</v>
      </c>
      <c r="G2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8CA1-5E2A-452A-8379-E6F850AFA315}">
  <dimension ref="C2:E30"/>
  <sheetViews>
    <sheetView workbookViewId="0">
      <selection activeCell="K26" sqref="K26"/>
    </sheetView>
  </sheetViews>
  <sheetFormatPr defaultRowHeight="14.4" x14ac:dyDescent="0.3"/>
  <cols>
    <col min="2" max="2" width="10.21875" customWidth="1"/>
    <col min="3" max="3" width="11.6640625" customWidth="1"/>
    <col min="4" max="4" width="14.44140625" customWidth="1"/>
    <col min="5" max="5" width="8.88671875" style="4"/>
  </cols>
  <sheetData>
    <row r="2" spans="3:5" x14ac:dyDescent="0.3">
      <c r="D2" s="3" t="s">
        <v>32</v>
      </c>
    </row>
    <row r="3" spans="3:5" x14ac:dyDescent="0.3">
      <c r="C3" s="5" t="s">
        <v>26</v>
      </c>
      <c r="D3" s="3" t="s">
        <v>31</v>
      </c>
      <c r="E3" s="4" t="s">
        <v>25</v>
      </c>
    </row>
    <row r="4" spans="3:5" x14ac:dyDescent="0.3">
      <c r="C4" t="s">
        <v>27</v>
      </c>
      <c r="D4">
        <f>IF(Tally!$E$6*1000000&lt;100000,Tally!$E$6*1000000,100000)</f>
        <v>100000</v>
      </c>
      <c r="E4" s="4">
        <f>IF(D4&gt;0,4,0)</f>
        <v>4</v>
      </c>
    </row>
    <row r="5" spans="3:5" x14ac:dyDescent="0.3">
      <c r="C5" t="s">
        <v>28</v>
      </c>
      <c r="D5">
        <f>IF(Tally!$E$6*1000000&lt;1000000,Tally!$E$6*1000000-D4,900000)</f>
        <v>900000</v>
      </c>
      <c r="E5" s="4">
        <f>IF(D5&gt;0,INT(4+0.6*D5/100000)+1,0)</f>
        <v>10</v>
      </c>
    </row>
    <row r="6" spans="3:5" x14ac:dyDescent="0.3">
      <c r="C6" t="s">
        <v>29</v>
      </c>
      <c r="D6">
        <f>IF(Tally!$E$6*1000000&lt;5000000,Tally!$E$6*1000000-D4-D5,4000000)</f>
        <v>2200000</v>
      </c>
      <c r="E6" s="4">
        <f>IF(D6&gt;0,INT(7.5+0.25*D6/100000)+1,0)</f>
        <v>14</v>
      </c>
    </row>
    <row r="7" spans="3:5" x14ac:dyDescent="0.3">
      <c r="C7" t="s">
        <v>30</v>
      </c>
      <c r="D7">
        <f>IF(Tally!$E$6*1000000&gt;5000000,Tally!$E$6*1000000-D4-D5-D6,0)</f>
        <v>0</v>
      </c>
      <c r="E7" s="4">
        <f>IF(D7&gt;0,INT(12+0.16*D7/100000)+1,0)</f>
        <v>0</v>
      </c>
    </row>
    <row r="8" spans="3:5" x14ac:dyDescent="0.3">
      <c r="D8" t="s">
        <v>33</v>
      </c>
      <c r="E8" s="4">
        <f>SUM(E4:E7)</f>
        <v>28</v>
      </c>
    </row>
    <row r="10" spans="3:5" x14ac:dyDescent="0.3">
      <c r="D10" s="3" t="s">
        <v>32</v>
      </c>
    </row>
    <row r="11" spans="3:5" x14ac:dyDescent="0.3">
      <c r="C11" s="5" t="s">
        <v>26</v>
      </c>
      <c r="D11" s="3" t="s">
        <v>31</v>
      </c>
      <c r="E11" s="4" t="s">
        <v>40</v>
      </c>
    </row>
    <row r="12" spans="3:5" x14ac:dyDescent="0.3">
      <c r="C12" t="s">
        <v>27</v>
      </c>
      <c r="D12">
        <f>IF(Tally!$E$6*1000000&lt;100000,Tally!$E$6*1000000,100000)</f>
        <v>100000</v>
      </c>
      <c r="E12" s="4">
        <f>IF(D12&gt;0,3,0)</f>
        <v>3</v>
      </c>
    </row>
    <row r="13" spans="3:5" x14ac:dyDescent="0.3">
      <c r="C13" t="s">
        <v>28</v>
      </c>
      <c r="D13">
        <f>IF(Tally!$E$6*1000000&lt;1000000,Tally!$E$6*1000000-D12,900000)</f>
        <v>900000</v>
      </c>
      <c r="E13" s="4">
        <f>IF(D13&gt;0,INT(2.5+0.5*D13/100000)+1,0)</f>
        <v>8</v>
      </c>
    </row>
    <row r="14" spans="3:5" x14ac:dyDescent="0.3">
      <c r="C14" t="s">
        <v>41</v>
      </c>
      <c r="D14">
        <f>IF(Tally!$E$6*1000000&lt;10000000,Tally!$E$6*1000000-D12-D13,9000000)</f>
        <v>2200000</v>
      </c>
      <c r="E14" s="4">
        <f>IF(D14&gt;0,INT(6+0.15*D14/100000)+1,0)</f>
        <v>10</v>
      </c>
    </row>
    <row r="15" spans="3:5" x14ac:dyDescent="0.3">
      <c r="C15" t="s">
        <v>42</v>
      </c>
      <c r="D15">
        <f>IF(Tally!$E$6*1000000&gt;10000000,Tally!$E$6*1000000-D12-D13-D14,0)</f>
        <v>0</v>
      </c>
      <c r="E15" s="4">
        <f>IF(D15&gt;0,20,0)</f>
        <v>0</v>
      </c>
    </row>
    <row r="16" spans="3:5" x14ac:dyDescent="0.3">
      <c r="D16" t="s">
        <v>33</v>
      </c>
      <c r="E16" s="4">
        <f>SUM(E12:E15)</f>
        <v>21</v>
      </c>
    </row>
    <row r="18" spans="3:5" x14ac:dyDescent="0.3">
      <c r="D18" s="3" t="s">
        <v>32</v>
      </c>
    </row>
    <row r="19" spans="3:5" x14ac:dyDescent="0.3">
      <c r="C19" s="5" t="s">
        <v>26</v>
      </c>
      <c r="D19" s="3" t="s">
        <v>31</v>
      </c>
      <c r="E19" s="4" t="s">
        <v>44</v>
      </c>
    </row>
    <row r="20" spans="3:5" x14ac:dyDescent="0.3">
      <c r="C20" t="s">
        <v>27</v>
      </c>
      <c r="D20">
        <f>IF(Tally!$E$6*1000000&lt;100000,Tally!$E$6*1000000,100000)</f>
        <v>100000</v>
      </c>
      <c r="E20" s="4">
        <f>IF(D20&gt;0,4,0)</f>
        <v>4</v>
      </c>
    </row>
    <row r="21" spans="3:5" x14ac:dyDescent="0.3">
      <c r="C21" t="s">
        <v>28</v>
      </c>
      <c r="D21">
        <f>IF(Tally!$E$6*1000000&lt;1000000,Tally!$E$6*1000000-D20,900000)</f>
        <v>900000</v>
      </c>
      <c r="E21" s="4">
        <f>IF(D21&gt;0,INT(4+0.6*D21/100000)+1,0)</f>
        <v>10</v>
      </c>
    </row>
    <row r="22" spans="3:5" x14ac:dyDescent="0.3">
      <c r="C22" t="s">
        <v>43</v>
      </c>
      <c r="D22">
        <f>IF(Tally!$E$6*1000000&gt;1000000,Tally!$E$6*1000000-D20-D21,0)</f>
        <v>2200000</v>
      </c>
      <c r="E22" s="4">
        <f>IF(D22&gt;0,10,0)</f>
        <v>10</v>
      </c>
    </row>
    <row r="23" spans="3:5" x14ac:dyDescent="0.3">
      <c r="D23" t="s">
        <v>33</v>
      </c>
      <c r="E23" s="4">
        <f>SUM(E20:E22)</f>
        <v>24</v>
      </c>
    </row>
    <row r="25" spans="3:5" x14ac:dyDescent="0.3">
      <c r="D25" s="3" t="s">
        <v>32</v>
      </c>
    </row>
    <row r="26" spans="3:5" x14ac:dyDescent="0.3">
      <c r="C26" s="5" t="s">
        <v>26</v>
      </c>
      <c r="D26" s="3" t="s">
        <v>31</v>
      </c>
      <c r="E26" s="4" t="s">
        <v>45</v>
      </c>
    </row>
    <row r="27" spans="3:5" x14ac:dyDescent="0.3">
      <c r="C27" t="s">
        <v>27</v>
      </c>
      <c r="D27">
        <f>IF(Tally!$E$6*1000000&lt;100000,Tally!$E$6*1000000,100000)</f>
        <v>100000</v>
      </c>
      <c r="E27" s="4">
        <f>IF(D27&gt;0,4,0)</f>
        <v>4</v>
      </c>
    </row>
    <row r="28" spans="3:5" x14ac:dyDescent="0.3">
      <c r="C28" t="s">
        <v>46</v>
      </c>
      <c r="D28">
        <f>IF(Tally!$E$6*1000000&lt;5000000,Tally!$E$6*1000000-D27,4900000)</f>
        <v>3100000</v>
      </c>
      <c r="E28" s="4">
        <f>IF(D28&gt;0,INT(1+0.15*D28/100000)+1,0)</f>
        <v>6</v>
      </c>
    </row>
    <row r="29" spans="3:5" x14ac:dyDescent="0.3">
      <c r="C29" t="s">
        <v>30</v>
      </c>
      <c r="D29">
        <f>IF(Tally!$E$6*1000000&gt;5000000,Tally!$E$6*1000000-D27-D28,0)</f>
        <v>0</v>
      </c>
      <c r="E29" s="4">
        <f>IF(D29&gt;0,INT(6+0.05*D29/100000)+1,0)</f>
        <v>0</v>
      </c>
    </row>
    <row r="30" spans="3:5" x14ac:dyDescent="0.3">
      <c r="D30" t="s">
        <v>33</v>
      </c>
      <c r="E30" s="4">
        <f>SUM(E27:E29)</f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1079-6377-4D12-B78B-3B2032DAF104}">
  <dimension ref="B2:H25"/>
  <sheetViews>
    <sheetView workbookViewId="0">
      <selection activeCell="C29" sqref="C29"/>
    </sheetView>
  </sheetViews>
  <sheetFormatPr defaultRowHeight="14.4" x14ac:dyDescent="0.3"/>
  <cols>
    <col min="2" max="2" width="10.77734375" bestFit="1" customWidth="1"/>
    <col min="3" max="3" width="10.77734375" customWidth="1"/>
    <col min="5" max="5" width="9.77734375" bestFit="1" customWidth="1"/>
  </cols>
  <sheetData>
    <row r="2" spans="3:8" x14ac:dyDescent="0.3">
      <c r="C2" s="10" t="s">
        <v>70</v>
      </c>
      <c r="D2" s="10"/>
      <c r="E2" s="10"/>
    </row>
    <row r="5" spans="3:8" x14ac:dyDescent="0.3">
      <c r="C5" t="s">
        <v>47</v>
      </c>
    </row>
    <row r="7" spans="3:8" x14ac:dyDescent="0.3">
      <c r="C7" t="s">
        <v>48</v>
      </c>
    </row>
    <row r="9" spans="3:8" x14ac:dyDescent="0.3">
      <c r="C9" t="s">
        <v>49</v>
      </c>
      <c r="E9" t="s">
        <v>53</v>
      </c>
      <c r="F9" s="3" t="s">
        <v>54</v>
      </c>
      <c r="G9" s="3" t="s">
        <v>60</v>
      </c>
    </row>
    <row r="10" spans="3:8" x14ac:dyDescent="0.3">
      <c r="C10" t="s">
        <v>50</v>
      </c>
      <c r="D10">
        <f>Tally!$E$4*E10</f>
        <v>575.99999999999989</v>
      </c>
      <c r="E10" s="9">
        <f>100%-SUM(E11:E14)</f>
        <v>0.6399999999999999</v>
      </c>
      <c r="F10">
        <f>D10*G10</f>
        <v>575.99999999999989</v>
      </c>
      <c r="G10">
        <v>1</v>
      </c>
      <c r="H10" t="s">
        <v>55</v>
      </c>
    </row>
    <row r="11" spans="3:8" x14ac:dyDescent="0.3">
      <c r="C11" t="s">
        <v>57</v>
      </c>
      <c r="D11">
        <f>Tally!$E$4*E11</f>
        <v>180</v>
      </c>
      <c r="E11" s="9">
        <v>0.2</v>
      </c>
      <c r="F11">
        <f t="shared" ref="F11:F14" si="0">D11*G11</f>
        <v>720</v>
      </c>
      <c r="G11">
        <v>4</v>
      </c>
    </row>
    <row r="12" spans="3:8" x14ac:dyDescent="0.3">
      <c r="C12" t="s">
        <v>51</v>
      </c>
      <c r="D12">
        <f>Tally!$E$4*E12</f>
        <v>90</v>
      </c>
      <c r="E12" s="9">
        <v>0.1</v>
      </c>
      <c r="F12">
        <f t="shared" si="0"/>
        <v>810</v>
      </c>
      <c r="G12">
        <v>9</v>
      </c>
      <c r="H12" t="s">
        <v>62</v>
      </c>
    </row>
    <row r="13" spans="3:8" x14ac:dyDescent="0.3">
      <c r="C13" t="s">
        <v>58</v>
      </c>
      <c r="D13">
        <f>Tally!$E$4*E13</f>
        <v>45</v>
      </c>
      <c r="E13" s="9">
        <v>0.05</v>
      </c>
      <c r="F13">
        <f t="shared" si="0"/>
        <v>1125</v>
      </c>
      <c r="G13">
        <v>25</v>
      </c>
      <c r="H13" t="s">
        <v>61</v>
      </c>
    </row>
    <row r="14" spans="3:8" x14ac:dyDescent="0.3">
      <c r="C14" t="s">
        <v>59</v>
      </c>
      <c r="D14">
        <f>Tally!$E$4*E14</f>
        <v>9</v>
      </c>
      <c r="E14" s="9">
        <v>0.01</v>
      </c>
      <c r="F14">
        <f t="shared" si="0"/>
        <v>900</v>
      </c>
      <c r="G14">
        <v>100</v>
      </c>
      <c r="H14" t="s">
        <v>56</v>
      </c>
    </row>
    <row r="15" spans="3:8" x14ac:dyDescent="0.3">
      <c r="C15" t="s">
        <v>52</v>
      </c>
      <c r="D15" s="7">
        <f>SUM(D10:D14)</f>
        <v>899.99999999999989</v>
      </c>
      <c r="F15" s="8">
        <f>SUM(F10:F14)</f>
        <v>4131</v>
      </c>
    </row>
    <row r="18" spans="2:8" x14ac:dyDescent="0.3">
      <c r="C18" t="s">
        <v>48</v>
      </c>
    </row>
    <row r="19" spans="2:8" x14ac:dyDescent="0.3">
      <c r="C19" t="s">
        <v>66</v>
      </c>
    </row>
    <row r="20" spans="2:8" x14ac:dyDescent="0.3">
      <c r="C20" t="s">
        <v>49</v>
      </c>
      <c r="E20" t="s">
        <v>53</v>
      </c>
      <c r="F20" s="3" t="s">
        <v>54</v>
      </c>
      <c r="G20" s="3" t="s">
        <v>60</v>
      </c>
    </row>
    <row r="21" spans="2:8" x14ac:dyDescent="0.3">
      <c r="C21" t="s">
        <v>67</v>
      </c>
      <c r="D21">
        <f>Tally!$E$4*E21</f>
        <v>756</v>
      </c>
      <c r="E21" s="9">
        <f>100%-SUM(E22:E24)</f>
        <v>0.84</v>
      </c>
      <c r="F21">
        <f>INT(D21*G21)+1</f>
        <v>76</v>
      </c>
      <c r="G21">
        <f>1/10</f>
        <v>0.1</v>
      </c>
      <c r="H21" t="s">
        <v>68</v>
      </c>
    </row>
    <row r="22" spans="2:8" x14ac:dyDescent="0.3">
      <c r="B22" t="s">
        <v>69</v>
      </c>
      <c r="C22" t="s">
        <v>51</v>
      </c>
      <c r="D22">
        <f>Tally!$E$4*E22</f>
        <v>90</v>
      </c>
      <c r="E22" s="9">
        <v>0.1</v>
      </c>
      <c r="F22">
        <f t="shared" ref="F22:F24" si="1">D22*G22</f>
        <v>810</v>
      </c>
      <c r="G22">
        <v>9</v>
      </c>
      <c r="H22" t="s">
        <v>62</v>
      </c>
    </row>
    <row r="23" spans="2:8" x14ac:dyDescent="0.3">
      <c r="B23" t="s">
        <v>69</v>
      </c>
      <c r="C23" t="s">
        <v>58</v>
      </c>
      <c r="D23">
        <f>Tally!$E$4*E23</f>
        <v>45</v>
      </c>
      <c r="E23" s="9">
        <v>0.05</v>
      </c>
      <c r="F23">
        <f t="shared" si="1"/>
        <v>1125</v>
      </c>
      <c r="G23">
        <v>25</v>
      </c>
      <c r="H23" t="s">
        <v>61</v>
      </c>
    </row>
    <row r="24" spans="2:8" x14ac:dyDescent="0.3">
      <c r="B24" t="s">
        <v>69</v>
      </c>
      <c r="C24" t="s">
        <v>59</v>
      </c>
      <c r="D24">
        <f>Tally!$E$4*E24</f>
        <v>9</v>
      </c>
      <c r="E24" s="9">
        <v>0.01</v>
      </c>
      <c r="F24">
        <f t="shared" si="1"/>
        <v>900</v>
      </c>
      <c r="G24">
        <v>100</v>
      </c>
      <c r="H24" t="s">
        <v>56</v>
      </c>
    </row>
    <row r="25" spans="2:8" x14ac:dyDescent="0.3">
      <c r="C25" t="s">
        <v>52</v>
      </c>
      <c r="D25" s="7">
        <f>SUM(D21:D24)</f>
        <v>900</v>
      </c>
      <c r="F25" s="8">
        <f>SUM(F21:F24)</f>
        <v>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Tally</vt:lpstr>
      <vt:lpstr>CPCB guidelines</vt:lpstr>
      <vt:lpstr>Hyperlocal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Guttikunda, Sarath K</dc:creator>
  <cp:lastModifiedBy>Guttikunda, Sarath K</cp:lastModifiedBy>
  <dcterms:created xsi:type="dcterms:W3CDTF">2026-01-28T04:54:09Z</dcterms:created>
  <dcterms:modified xsi:type="dcterms:W3CDTF">2026-01-28T12:25:53Z</dcterms:modified>
</cp:coreProperties>
</file>